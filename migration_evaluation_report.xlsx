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thalie\Desktop\"/>
    </mc:Choice>
  </mc:AlternateContent>
  <xr:revisionPtr revIDLastSave="0" documentId="8_{70493E36-B14A-4C0D-9772-75382A3F7CE5}" xr6:coauthVersionLast="47" xr6:coauthVersionMax="47" xr10:uidLastSave="{00000000-0000-0000-0000-000000000000}"/>
  <bookViews>
    <workbookView xWindow="-98" yWindow="-98" windowWidth="21795" windowHeight="12975" tabRatio="500" firstSheet="1" activeTab="2" xr2:uid="{00000000-000D-0000-FFFF-FFFF00000000}"/>
  </bookViews>
  <sheets>
    <sheet name="MIGRATION TOOL TEST REPORT" sheetId="1" r:id="rId1"/>
    <sheet name="EDGE CASE REPORT" sheetId="2" r:id="rId2"/>
    <sheet name="FINAL WEIGHTED RANKING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E45" i="1"/>
  <c r="D45" i="1"/>
  <c r="F44" i="1"/>
  <c r="E44" i="1"/>
  <c r="D44" i="1"/>
  <c r="F43" i="1"/>
  <c r="E43" i="1"/>
  <c r="D43" i="1"/>
  <c r="F42" i="1"/>
  <c r="E42" i="1"/>
  <c r="D42" i="1"/>
</calcChain>
</file>

<file path=xl/sharedStrings.xml><?xml version="1.0" encoding="utf-8"?>
<sst xmlns="http://schemas.openxmlformats.org/spreadsheetml/2006/main" count="380" uniqueCount="223">
  <si>
    <t>Migration Edge Case &amp; Failure Scenario Report  ·  pgLoader · MRM · Mongify</t>
  </si>
  <si>
    <t>Case ID</t>
  </si>
  <si>
    <t>Database</t>
  </si>
  <si>
    <t>Scenario</t>
  </si>
  <si>
    <t>Action / Trigger</t>
  </si>
  <si>
    <t>Expected Behavior</t>
  </si>
  <si>
    <t>pgLoader</t>
  </si>
  <si>
    <t>MRM</t>
  </si>
  <si>
    <t>Mongify</t>
  </si>
  <si>
    <t>EC01</t>
  </si>
  <si>
    <t>blog_db (WordPress)</t>
  </si>
  <si>
    <t>Re-run without dropping target</t>
  </si>
  <si>
    <t>Run Mongify twice on blog_db without dropping MongoDB collections</t>
  </si>
  <si>
    <t>Tool detects existing data and warns or skips</t>
  </si>
  <si>
    <t>PASS — WITH include drop in config ensures clean run every time</t>
  </si>
  <si>
    <t>PASS — GUI drops and recreates collections before re-migrating</t>
  </si>
  <si>
    <t>FAIL — Appended 1448 rows: target=4269 docs (95% overcount). Zero warning produced.</t>
  </si>
  <si>
    <t>EC02</t>
  </si>
  <si>
    <t>All DBs</t>
  </si>
  <si>
    <t>Source has no DB-level foreign keys</t>
  </si>
  <si>
    <t>Migrate WordPress/WooCommerce/ERPNext schemas with FKs: 0</t>
  </si>
  <si>
    <t>Tool handles app-managed relationships gracefully</t>
  </si>
  <si>
    <t>PASS — Migrates cleanly; documents FK: 0 in output</t>
  </si>
  <si>
    <t>PASS — GUI shows FK: 0; proceeds without error</t>
  </si>
  <si>
    <t>PASS — .rb files declare :references manually; migration proceeds</t>
  </si>
  <si>
    <t>EC03</t>
  </si>
  <si>
    <t>Table name case transformation</t>
  </si>
  <si>
    <t>Source has mixed-case table names (wp_Posts, tabUser)</t>
  </si>
  <si>
    <t>Tool consistently handles table name casing in target</t>
  </si>
  <si>
    <t>PASS — All names lowercased (wp_posts). Documented behavior.</t>
  </si>
  <si>
    <t>PASS — snake_case → camelCase (wpPosts). Documented behavior.</t>
  </si>
  <si>
    <t>PASS — Collection names mirror source exactly. No transformation applied.</t>
  </si>
  <si>
    <t>EC04</t>
  </si>
  <si>
    <t>ecommerce_db (WooCommerce)</t>
  </si>
  <si>
    <t>DECIMAL fields mapped to string</t>
  </si>
  <si>
    <t>Mongify .rb declares tax_amount, total_amount as :string not :decimal</t>
  </si>
  <si>
    <t>Monetary fields stored as numeric BSON types</t>
  </si>
  <si>
    <t>PASS — PostgreSQL stores correct DECIMAL/NUMERIC types</t>
  </si>
  <si>
    <t>PASS — MRM maps MySQL DECIMAL to BSON Double correctly</t>
  </si>
  <si>
    <t>FAIL — Monetary fields stored as strings. Breaks numeric queries and aggregations.</t>
  </si>
  <si>
    <t>EC05</t>
  </si>
  <si>
    <t>Zero-row tables present in schema</t>
  </si>
  <si>
    <t>Tables like wp_links (0 rows), wp_actionscheduler_claims (0 rows)</t>
  </si>
  <si>
    <t>Empty tables migrated without error; 0-document collections created</t>
  </si>
  <si>
    <t>PASS — Empty tables created in PostgreSQL; PASS status reported</t>
  </si>
  <si>
    <t>PASS — Empty collections created in MongoDB; PASS status reported</t>
  </si>
  <si>
    <t>PASS — Empty collections created; 0/0 reported correctly</t>
  </si>
  <si>
    <t>EC06</t>
  </si>
  <si>
    <t>MySQL zero-dates (0000-00-00)</t>
  </si>
  <si>
    <t>WordPress wp_posts contains zero-date values in post_date fields</t>
  </si>
  <si>
    <t>Zero dates converted to NULL without crashing migration</t>
  </si>
  <si>
    <t>PASS — Explicit CAST rule: zero-dates-to-null in pgloader_blog.conf</t>
  </si>
  <si>
    <t>PASS — MRM handles zero-date fields gracefully via JDBC layer</t>
  </si>
  <si>
    <t>PARTIAL — Not explicitly handled in .rb config; potential Ruby driver issue</t>
  </si>
  <si>
    <t>EC07</t>
  </si>
  <si>
    <t>Installation on fresh environment</t>
  </si>
  <si>
    <t>Set up all three tools from scratch with no prior configuration</t>
  </si>
  <si>
    <t>Installs without dependency conflicts in under 15 minutes</t>
  </si>
  <si>
    <t>PASS — docker pull; zero host dependencies; 5 min setup</t>
  </si>
  <si>
    <t>PASS — Standalone installer with bundled JRE; 10 min setup</t>
  </si>
  <si>
    <t>FAIL — Ruby gem conflicts required custom Dockerfile; ~45 min to working state</t>
  </si>
  <si>
    <t>EC08</t>
  </si>
  <si>
    <t>erp_db (ERPNext)</t>
  </si>
  <si>
    <t>Large reference tables</t>
  </si>
  <si>
    <t>Migrate tabCountry (249), tabCurrency (148), tabLanguage (82) rows</t>
  </si>
  <si>
    <t>All rows migrated with 100% row count accuracy</t>
  </si>
  <si>
    <t>PASS — 510/510 rows; all reference tables complete</t>
  </si>
  <si>
    <t>FAIL — erp_db target=1020 vs source=510 (2× duplication from re-run append)</t>
  </si>
  <si>
    <t>EC09</t>
  </si>
  <si>
    <t>FULLTEXT index silently skipped</t>
  </si>
  <si>
    <t>pgLoader migrates ecommerce_db; source has MySQL FULLTEXT index on wp_posts</t>
  </si>
  <si>
    <t>Tool migrates or flags FULLTEXT index; no silent data loss</t>
  </si>
  <si>
    <t>FAIL — FULLTEXT index silently skipped; no error or warning raised. PostgreSQL uses tsvector — pgLoader did not translate or flag the incompatibility. Schema fidelity gap discovered post-migration.</t>
  </si>
  <si>
    <t>NOT APPLIED — MRM targets MongoDB, not PostgreSQL</t>
  </si>
  <si>
    <t>NOT APPLIED — Mongify targets MongoDB, not PostgreSQL</t>
  </si>
  <si>
    <t>Migration Tool Evaluation Report  ·  pgLoader · MRM · Mongify  ·  37 Criteria Evaluated</t>
  </si>
  <si>
    <t>Criterion ID</t>
  </si>
  <si>
    <t>Criterion Name</t>
  </si>
  <si>
    <t>Category</t>
  </si>
  <si>
    <t>Notes / Key Finding</t>
  </si>
  <si>
    <t>C1.1</t>
  </si>
  <si>
    <t>Table/Collection Completeness</t>
  </si>
  <si>
    <t>Schema Fidelity (30%)</t>
  </si>
  <si>
    <t>PASS</t>
  </si>
  <si>
    <t>All 68 tables/collections confirmed present in target DBs across all three tools.</t>
  </si>
  <si>
    <t>C1.2</t>
  </si>
  <si>
    <t>Column Mapping Accuracy</t>
  </si>
  <si>
    <t>pgLoader lowercases names; MRM uses camelCase; Mongify mirrors source exactly.</t>
  </si>
  <si>
    <t>C1.3</t>
  </si>
  <si>
    <t>Data Type Conversion Correctness</t>
  </si>
  <si>
    <t>Semantic type correctness confirmed. Mongify DECIMAL→string limitation noted under C4.5.</t>
  </si>
  <si>
    <t>C1.4</t>
  </si>
  <si>
    <t>Primary Key Preservation</t>
  </si>
  <si>
    <t>NOT APPLIED</t>
  </si>
  <si>
    <t>PostgreSQL target only. WooCommerce tables have no DB-level PKs (app-managed).</t>
  </si>
  <si>
    <t>C1.5</t>
  </si>
  <si>
    <t>Foreign Key Preservation</t>
  </si>
  <si>
    <t>FKs: 0 across all DBs — source schemas use application-level relationships only.</t>
  </si>
  <si>
    <t>C1.6</t>
  </si>
  <si>
    <t>Unique Constraint Migration</t>
  </si>
  <si>
    <t>PostgreSQL target only; UNIQUE constraints verified post-migration.</t>
  </si>
  <si>
    <t>C1.7</t>
  </si>
  <si>
    <t>CHECK Constraint Migration</t>
  </si>
  <si>
    <t>PostgreSQL target only; CHECK/ENUM constraints verified in migrated schema.</t>
  </si>
  <si>
    <t>C1.8</t>
  </si>
  <si>
    <t>Index Migration Accuracy</t>
  </si>
  <si>
    <t>FAIL</t>
  </si>
  <si>
    <t>pgLoader silently skipped MySQL FULLTEXT indexes in ecommerce_db — no error raised; PostgreSQL uses tsvector instead of FULLTEXT syntax. Schema fidelity gap: search indexes lost without warning.</t>
  </si>
  <si>
    <t>C1.9</t>
  </si>
  <si>
    <t>View Migration</t>
  </si>
  <si>
    <t>No views in source schemas; criterion assessed on tool scope and handling behavior.</t>
  </si>
  <si>
    <t>C1.10</t>
  </si>
  <si>
    <t>Stored Procedure / Trigger Migration</t>
  </si>
  <si>
    <t>ERPNext logic is app-level; no stored procedures existed in source schemas.</t>
  </si>
  <si>
    <t>C2.1</t>
  </si>
  <si>
    <t>Row Count Accuracy</t>
  </si>
  <si>
    <t>Data Fidelity (30%)</t>
  </si>
  <si>
    <t>Mongify FAIL: blog_db target=4269 vs source=1448 (append-on-rerun). Duplication also observed in ecommerce and erp runs.</t>
  </si>
  <si>
    <t>C2.2</t>
  </si>
  <si>
    <t>Numeric Precision Preservation</t>
  </si>
  <si>
    <t>Precision checks passed. DECIMAL→string limitation covered under C4.5.</t>
  </si>
  <si>
    <t>C2.3</t>
  </si>
  <si>
    <t>String &amp; Character Encoding Fidelity</t>
  </si>
  <si>
    <t>UTF-8 encoding intact. Zero Unicode replacement characters found in sampled docs.</t>
  </si>
  <si>
    <t>C2.4</t>
  </si>
  <si>
    <t>NULL Value Handling</t>
  </si>
  <si>
    <t>NULL sampling confirmed preservation across all migrated tables and collections.</t>
  </si>
  <si>
    <t>C2.5</t>
  </si>
  <si>
    <t>Date &amp; Timestamp Accuracy</t>
  </si>
  <si>
    <t>pgLoader zero-date CAST rules applied. Date fields verified in both target DBs.</t>
  </si>
  <si>
    <t>C2.6</t>
  </si>
  <si>
    <t>Boolean Value Correctness</t>
  </si>
  <si>
    <t>Boolean fields preserved correctly across relational and document targets.</t>
  </si>
  <si>
    <t>C2.7</t>
  </si>
  <si>
    <t>ENUM / SET Type Handling</t>
  </si>
  <si>
    <t>ENUM values preserved; representation differs by target type system as expected.</t>
  </si>
  <si>
    <t>C2.8</t>
  </si>
  <si>
    <t>Binary / BLOB Data Integrity</t>
  </si>
  <si>
    <t>Integrity checks confirmed for binary fields across all three tools.</t>
  </si>
  <si>
    <t>C2.9</t>
  </si>
  <si>
    <t>Auto-Increment / Sequence Continuity</t>
  </si>
  <si>
    <t>PostgreSQL sequences validated post-migration. Not applicable for MongoDB targets.</t>
  </si>
  <si>
    <t>C2.10</t>
  </si>
  <si>
    <t>Default Value Preservation</t>
  </si>
  <si>
    <t>Explicit default checks on relational target passed. MongoDB tools preserve values but not schema-level defaults.</t>
  </si>
  <si>
    <t>C3.1</t>
  </si>
  <si>
    <t>Total Migration Duration</t>
  </si>
  <si>
    <t>Performance (20%)</t>
  </si>
  <si>
    <t>pgLoader &lt;1 sec · MRM 1–6 sec · Mongify 15–20 sec. All acceptable for dataset size.</t>
  </si>
  <si>
    <t>C3.2</t>
  </si>
  <si>
    <t>Throughput (rows/sec)</t>
  </si>
  <si>
    <t>Derived from rows/duration. pgLoader highest throughput; Mongify lowest but functional.</t>
  </si>
  <si>
    <t>C3.3</t>
  </si>
  <si>
    <t>Peak Memory Consumption</t>
  </si>
  <si>
    <t>pgLoader 203.74 MB · MRM 660.30 MB (JVM/GUI) · Mongify 63.96 MB.</t>
  </si>
  <si>
    <t>C3.4</t>
  </si>
  <si>
    <t>Peak CPU Utilisation</t>
  </si>
  <si>
    <t>pgLoader 81.60% · MRM 0.39% (UI-managed) · Mongify 93.80%.</t>
  </si>
  <si>
    <t>C3.5</t>
  </si>
  <si>
    <t>Disk I/O Impact</t>
  </si>
  <si>
    <t>pgLoader 0.00 MB · MRM 1.90 MB · Mongify 3.44 MB. All acceptable.</t>
  </si>
  <si>
    <t>C3.6</t>
  </si>
  <si>
    <t>Scalability Across Complexity Levels</t>
  </si>
  <si>
    <t>All tools processed 1NF, 2NF/3NF, and 3NF databases successfully.</t>
  </si>
  <si>
    <t>C3.7</t>
  </si>
  <si>
    <t>Parallel / Batch Processing Capability</t>
  </si>
  <si>
    <t>pgLoader: parallel loading. MRM: managed queue. Mongify: strictly sequential, no batch support.</t>
  </si>
  <si>
    <t>C4.4</t>
  </si>
  <si>
    <t>ObjectId Reference Integrity</t>
  </si>
  <si>
    <t>MongoDB Transform. (10%)</t>
  </si>
  <si>
    <t>PASS/PARTIAL</t>
  </si>
  <si>
    <t>16 reference relationships checked. MRM: 194 checked, 193 valid, 1 dangling (99.5%). Mongify: 452 checked, 0 valid, 452 dangling.</t>
  </si>
  <si>
    <t>C4.5</t>
  </si>
  <si>
    <t>MongoDB-Specific Type Usage</t>
  </si>
  <si>
    <t>PARTIAL</t>
  </si>
  <si>
    <t>MRM: correct BSON Date and numeric types. Mongify: monetary fields stored as :string (known DECIMAL limitation).</t>
  </si>
  <si>
    <t>C5.1</t>
  </si>
  <si>
    <t>Configuration Complexity</t>
  </si>
  <si>
    <t>Operational (10%)</t>
  </si>
  <si>
    <t>pgLoader: 3 concise .conf files (~20 lines). MRM: GUI wizard, no config files. Mongify: 656 lines of manual Ruby DSL.</t>
  </si>
  <si>
    <t>C5.2</t>
  </si>
  <si>
    <t>Error Reporting &amp; Diagnostics</t>
  </si>
  <si>
    <t>pgLoader/MRM: structured per-table error output. Mongify: silent on blog_db duplication — zero warning for 95% row overrun.</t>
  </si>
  <si>
    <t>C5.3</t>
  </si>
  <si>
    <t>Logging &amp; Audit Trail</t>
  </si>
  <si>
    <t>pgLoader/MRM: persistent structured logs with per-table traceability. Mongify: stdout progress dots only, no persistent log.</t>
  </si>
  <si>
    <t>C5.4</t>
  </si>
  <si>
    <t>Resumability &amp; Failure Recovery</t>
  </si>
  <si>
    <t>pgLoader: idempotent restart. MRM: GUI re-run safe. Mongify: APPENDS on re-run — demonstrated 2× duplication in blog_db.</t>
  </si>
  <si>
    <t>C5.5</t>
  </si>
  <si>
    <t>Pre-Migration Validation</t>
  </si>
  <si>
    <t>pgLoader: config + connection validation. MRM: full schema preview + approval step. Mongify: no pre-check whatsoever.</t>
  </si>
  <si>
    <t>C5.6</t>
  </si>
  <si>
    <t>Documentation Quality</t>
  </si>
  <si>
    <t>pgLoader: active docs at pgloader.io. MRM: official MongoDB docs. Mongify: sparse README, last updated ~2014.</t>
  </si>
  <si>
    <t>C5.7</t>
  </si>
  <si>
    <t>Installation &amp; Dependency Management</t>
  </si>
  <si>
    <t>pgLoader: single Docker image, 5 min. MRM: standalone installer, 10 min. Mongify: custom Dockerfile required, ~45 min.</t>
  </si>
  <si>
    <t>C5.8</t>
  </si>
  <si>
    <t>Licensing &amp; Vendor Dependency</t>
  </si>
  <si>
    <t>pgLoader: PostgreSQL License (open). MRM: proprietary free-to-use, medium–high vendor lock-in. Mongify: MIT, open but abandoned.</t>
  </si>
  <si>
    <t>SUMMARY — 37 CRITERIA</t>
  </si>
  <si>
    <t>pgLoader: C1.8 · Mongify: C2.1, C3.7, C4.4, C5.1–C5.7</t>
  </si>
  <si>
    <t>MRM: C4.4 · Mongify: C4.5</t>
  </si>
  <si>
    <t>pgLoader: C4.4–C4.5 · MRM/Mongify: C1.4–C1.8, C2.9</t>
  </si>
  <si>
    <t>FINAL WEIGHTED RANKINGS</t>
  </si>
  <si>
    <t>Rank</t>
  </si>
  <si>
    <t>Tool</t>
  </si>
  <si>
    <t>Final Score</t>
  </si>
  <si>
    <t>Schema
(30%)</t>
  </si>
  <si>
    <t>Data
(30%)</t>
  </si>
  <si>
    <t>Transform
(10%)</t>
  </si>
  <si>
    <t>Perform
(20%)</t>
  </si>
  <si>
    <t>Operational
(10%)</t>
  </si>
  <si>
    <t>N/A</t>
  </si>
  <si>
    <t>INTERPRETATION</t>
  </si>
  <si>
    <t>1. pgLoader scores 4.35/5.00 — strongest in data fidelity, performance, and operations. Schema score reduced to 4.50 due to FULLTEXT index silent skip (C1.8 FAIL).</t>
  </si>
  <si>
    <t>2. MRM ranks highest overall (4.94/5.00) with perfect scores in schema, data, performance and operations, and strong MongoDB transformation (4.38).</t>
  </si>
  <si>
    <t>3. Mongify ranks third (3.88/5.00) — strong in schema fidelity but critically weak in MongoDB transformation (1.25) and operational quality (0.63).</t>
  </si>
  <si>
    <t>KEY FINDINGS:</t>
  </si>
  <si>
    <t>• For MySQL → PostgreSQL migrations: pgLoader is the clear recommendation (fastest speed, near-perfect data fidelity) — note FULLTEXT index limitation requires manual tsvector setup post-migration.</t>
  </si>
  <si>
    <t>• For MySQL → MongoDB with complex relationships: MRM is the top choice — highest overall score, correct BSON types, pre-migration validation, and GUI-based mapping.</t>
  </si>
  <si>
    <t>• For simple NoSQL transformations: Mongify handles basic structure but fails on DECIMAL types, has no error reporting, and appends on re-run — use with caution.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</si>
</sst>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375623"/>
      <name val="Arial"/>
      <charset val="1"/>
    </font>
    <font>
      <b/>
      <sz val="9"/>
      <color rgb="FF3F3F76"/>
      <name val="Arial"/>
      <charset val="1"/>
    </font>
    <font>
      <b/>
      <sz val="11"/>
      <color rgb="FF9C0006"/>
      <name val="Cambria"/>
      <charset val="1"/>
    </font>
    <font>
      <b/>
      <sz val="9"/>
      <color rgb="FF9C0006"/>
      <name val="Arial"/>
      <charset val="1"/>
    </font>
    <font>
      <b/>
      <sz val="9"/>
      <color rgb="FF7D5C00"/>
      <name val="Arial"/>
      <charset val="1"/>
    </font>
    <font>
      <b/>
      <sz val="10"/>
      <color rgb="FFFFFFFF"/>
      <name val="Arial"/>
      <charset val="1"/>
    </font>
    <font>
      <b/>
      <sz val="11"/>
      <color rgb="FF000000"/>
      <name val="Cambria"/>
      <charset val="1"/>
    </font>
    <font>
      <sz val="11"/>
      <color rgb="FF000000"/>
      <name val="Cambria"/>
      <charset val="1"/>
    </font>
    <font>
      <sz val="11"/>
      <color rgb="FF3F3F76"/>
      <name val="Cambria"/>
      <charset val="1"/>
    </font>
    <font>
      <b/>
      <sz val="16"/>
      <color rgb="FF000000"/>
      <name val="Cambria"/>
      <charset val="1"/>
    </font>
    <font>
      <b/>
      <sz val="11"/>
      <color rgb="FFFFFFFF"/>
      <name val="Cambria"/>
      <charset val="1"/>
    </font>
    <font>
      <b/>
      <sz val="12"/>
      <color rgb="FF000000"/>
      <name val="Cambria"/>
      <charset val="1"/>
    </font>
    <font>
      <i/>
      <sz val="11"/>
      <color rgb="FF595959"/>
      <name val="Cambria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F3F76"/>
      </patternFill>
    </fill>
    <fill>
      <patternFill patternType="solid">
        <fgColor rgb="FFFFC000"/>
        <bgColor rgb="FFFFD700"/>
      </patternFill>
    </fill>
    <fill>
      <patternFill patternType="solid">
        <fgColor rgb="FFE2EFDA"/>
        <bgColor rgb="FFDEEAF1"/>
      </patternFill>
    </fill>
    <fill>
      <patternFill patternType="solid">
        <fgColor rgb="FFC6EFCE"/>
        <bgColor rgb="FFE2EFDA"/>
      </patternFill>
    </fill>
    <fill>
      <patternFill patternType="solid">
        <fgColor rgb="FFD9D9D9"/>
        <bgColor rgb="FFDDDDDD"/>
      </patternFill>
    </fill>
    <fill>
      <patternFill patternType="solid">
        <fgColor rgb="FFFFC7CE"/>
        <bgColor rgb="FFEAD1DC"/>
      </patternFill>
    </fill>
    <fill>
      <patternFill patternType="solid">
        <fgColor rgb="FFEBF3FA"/>
        <bgColor rgb="FFF5F5F5"/>
      </patternFill>
    </fill>
    <fill>
      <patternFill patternType="solid">
        <fgColor rgb="FFFFF2CC"/>
        <bgColor rgb="FFFDF3E7"/>
      </patternFill>
    </fill>
    <fill>
      <patternFill patternType="solid">
        <fgColor rgb="FFFDF2EC"/>
        <bgColor rgb="FFFDF3E7"/>
      </patternFill>
    </fill>
    <fill>
      <patternFill patternType="solid">
        <fgColor rgb="FFFFEB9C"/>
        <bgColor rgb="FFFFF2CC"/>
      </patternFill>
    </fill>
    <fill>
      <patternFill patternType="solid">
        <fgColor rgb="FFEAD1DC"/>
        <bgColor rgb="FFD9D9D9"/>
      </patternFill>
    </fill>
    <fill>
      <patternFill patternType="solid">
        <fgColor rgb="FFDEEAF1"/>
        <bgColor rgb="FFE2EFDA"/>
      </patternFill>
    </fill>
    <fill>
      <patternFill patternType="solid">
        <fgColor rgb="FFF2F9EE"/>
        <bgColor rgb="FFF5F5F5"/>
      </patternFill>
    </fill>
    <fill>
      <patternFill patternType="solid">
        <fgColor rgb="FF2E6DA4"/>
        <bgColor rgb="FF3366FF"/>
      </patternFill>
    </fill>
    <fill>
      <patternFill patternType="solid">
        <fgColor rgb="FFFFD700"/>
        <bgColor rgb="FFFFC000"/>
      </patternFill>
    </fill>
    <fill>
      <patternFill patternType="solid">
        <fgColor rgb="FFFFF9E6"/>
        <bgColor rgb="FFFDF3E7"/>
      </patternFill>
    </fill>
    <fill>
      <patternFill patternType="solid">
        <fgColor rgb="FFC0C0C0"/>
        <bgColor rgb="FFB0B0B0"/>
      </patternFill>
    </fill>
    <fill>
      <patternFill patternType="solid">
        <fgColor rgb="FFF5F5F5"/>
        <bgColor rgb="FFF2F9EE"/>
      </patternFill>
    </fill>
    <fill>
      <patternFill patternType="solid">
        <fgColor rgb="FFCD7F32"/>
        <bgColor rgb="FF808080"/>
      </patternFill>
    </fill>
    <fill>
      <patternFill patternType="solid">
        <fgColor rgb="FFFDF3E7"/>
        <bgColor rgb="FFFDF2EC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1" fillId="13" borderId="0" xfId="0" applyFont="1" applyFill="1" applyAlignment="1">
      <alignment vertical="top" wrapText="1"/>
    </xf>
    <xf numFmtId="0" fontId="12" fillId="13" borderId="0" xfId="0" applyFont="1" applyFill="1" applyAlignment="1">
      <alignment vertical="top" wrapText="1"/>
    </xf>
    <xf numFmtId="0" fontId="7" fillId="7" borderId="0" xfId="0" applyFont="1" applyFill="1" applyAlignment="1">
      <alignment vertical="top" wrapText="1"/>
    </xf>
    <xf numFmtId="0" fontId="13" fillId="6" borderId="0" xfId="0" applyFont="1" applyFill="1" applyAlignment="1">
      <alignment vertical="top" wrapText="1"/>
    </xf>
    <xf numFmtId="0" fontId="15" fillId="15" borderId="2" xfId="0" applyFont="1" applyFill="1" applyBorder="1" applyAlignment="1">
      <alignment horizontal="center" vertical="center" wrapText="1"/>
    </xf>
    <xf numFmtId="0" fontId="15" fillId="16" borderId="3" xfId="0" applyFont="1" applyFill="1" applyBorder="1" applyAlignment="1">
      <alignment horizontal="center" vertical="center"/>
    </xf>
    <xf numFmtId="0" fontId="11" fillId="17" borderId="3" xfId="0" applyFont="1" applyFill="1" applyBorder="1" applyAlignment="1">
      <alignment horizontal="left" vertical="center"/>
    </xf>
    <xf numFmtId="2" fontId="11" fillId="17" borderId="3" xfId="0" applyNumberFormat="1" applyFont="1" applyFill="1" applyBorder="1" applyAlignment="1">
      <alignment horizontal="center" vertical="center"/>
    </xf>
    <xf numFmtId="2" fontId="12" fillId="17" borderId="3" xfId="0" applyNumberFormat="1" applyFont="1" applyFill="1" applyBorder="1" applyAlignment="1">
      <alignment horizontal="center" vertical="center"/>
    </xf>
    <xf numFmtId="0" fontId="12" fillId="17" borderId="3" xfId="0" applyFont="1" applyFill="1" applyBorder="1" applyAlignment="1">
      <alignment horizontal="center" vertical="center"/>
    </xf>
    <xf numFmtId="0" fontId="15" fillId="18" borderId="3" xfId="0" applyFont="1" applyFill="1" applyBorder="1" applyAlignment="1">
      <alignment horizontal="center" vertical="center"/>
    </xf>
    <xf numFmtId="0" fontId="11" fillId="19" borderId="3" xfId="0" applyFont="1" applyFill="1" applyBorder="1" applyAlignment="1">
      <alignment horizontal="left" vertical="center"/>
    </xf>
    <xf numFmtId="2" fontId="11" fillId="19" borderId="3" xfId="0" applyNumberFormat="1" applyFont="1" applyFill="1" applyBorder="1" applyAlignment="1">
      <alignment horizontal="center" vertical="center"/>
    </xf>
    <xf numFmtId="2" fontId="12" fillId="19" borderId="3" xfId="0" applyNumberFormat="1" applyFont="1" applyFill="1" applyBorder="1" applyAlignment="1">
      <alignment horizontal="center" vertical="center"/>
    </xf>
    <xf numFmtId="0" fontId="15" fillId="20" borderId="3" xfId="0" applyFont="1" applyFill="1" applyBorder="1" applyAlignment="1">
      <alignment horizontal="center" vertical="center"/>
    </xf>
    <xf numFmtId="0" fontId="11" fillId="21" borderId="3" xfId="0" applyFont="1" applyFill="1" applyBorder="1" applyAlignment="1">
      <alignment horizontal="left" vertical="center"/>
    </xf>
    <xf numFmtId="2" fontId="11" fillId="21" borderId="3" xfId="0" applyNumberFormat="1" applyFont="1" applyFill="1" applyBorder="1" applyAlignment="1">
      <alignment horizontal="center" vertical="center"/>
    </xf>
    <xf numFmtId="2" fontId="12" fillId="21" borderId="3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0" fillId="2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9C0006"/>
      <rgbColor rgb="FF008000"/>
      <rgbColor rgb="FF000080"/>
      <rgbColor rgb="FF7D5C00"/>
      <rgbColor rgb="FF800080"/>
      <rgbColor rgb="FF008080"/>
      <rgbColor rgb="FFC0C0C0"/>
      <rgbColor rgb="FF808080"/>
      <rgbColor rgb="FFF5F5F5"/>
      <rgbColor rgb="FF993366"/>
      <rgbColor rgb="FFFFF9E6"/>
      <rgbColor rgb="FFEBF3FA"/>
      <rgbColor rgb="FF660066"/>
      <rgbColor rgb="FFFDF2EC"/>
      <rgbColor rgb="FF2E6DA4"/>
      <rgbColor rgb="FFD9D9D9"/>
      <rgbColor rgb="FF000080"/>
      <rgbColor rgb="FFFF00FF"/>
      <rgbColor rgb="FFFDF3E7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EB9C"/>
      <rgbColor rgb="FFDDDDDD"/>
      <rgbColor rgb="FFEAD1DC"/>
      <rgbColor rgb="FFE2EFDA"/>
      <rgbColor rgb="FFFFC7CE"/>
      <rgbColor rgb="FF3366FF"/>
      <rgbColor rgb="FF33CCCC"/>
      <rgbColor rgb="FFF2F9EE"/>
      <rgbColor rgb="FFFFD700"/>
      <rgbColor rgb="FFFFC000"/>
      <rgbColor rgb="FFCD7F32"/>
      <rgbColor rgb="FF595959"/>
      <rgbColor rgb="FFB0B0B0"/>
      <rgbColor rgb="FF1F3864"/>
      <rgbColor rgb="FF339966"/>
      <rgbColor rgb="FF003300"/>
      <rgbColor rgb="FF333300"/>
      <rgbColor rgb="FF993300"/>
      <rgbColor rgb="FF993366"/>
      <rgbColor rgb="FF3F3F7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zoomScaleNormal="100" workbookViewId="0">
      <pane ySplit="2" topLeftCell="A39" activePane="bottomLeft" state="frozen"/>
      <selection pane="bottomLeft" activeCell="G3" sqref="G3"/>
    </sheetView>
  </sheetViews>
  <sheetFormatPr defaultColWidth="8.6640625" defaultRowHeight="14.25" x14ac:dyDescent="0.45"/>
  <cols>
    <col min="1" max="1" width="12" customWidth="1"/>
    <col min="2" max="2" width="30" customWidth="1"/>
    <col min="3" max="3" width="22" customWidth="1"/>
    <col min="4" max="6" width="13" customWidth="1"/>
    <col min="7" max="7" width="50" customWidth="1"/>
  </cols>
  <sheetData>
    <row r="1" spans="1:7" ht="43.5" customHeight="1" x14ac:dyDescent="0.45">
      <c r="A1" s="53" t="s">
        <v>75</v>
      </c>
      <c r="B1" s="54"/>
      <c r="C1" s="54"/>
      <c r="D1" s="54"/>
      <c r="E1" s="54"/>
      <c r="F1" s="54"/>
      <c r="G1" s="54"/>
    </row>
    <row r="2" spans="1:7" ht="36" customHeight="1" x14ac:dyDescent="0.45">
      <c r="A2" s="1" t="s">
        <v>76</v>
      </c>
      <c r="B2" s="1" t="s">
        <v>77</v>
      </c>
      <c r="C2" s="1" t="s">
        <v>78</v>
      </c>
      <c r="D2" s="1" t="s">
        <v>6</v>
      </c>
      <c r="E2" s="1" t="s">
        <v>7</v>
      </c>
      <c r="F2" s="1" t="s">
        <v>8</v>
      </c>
      <c r="G2" s="1" t="s">
        <v>79</v>
      </c>
    </row>
    <row r="3" spans="1:7" ht="43.5" customHeight="1" x14ac:dyDescent="0.45">
      <c r="A3" s="2" t="s">
        <v>80</v>
      </c>
      <c r="B3" s="3" t="s">
        <v>81</v>
      </c>
      <c r="C3" s="4" t="s">
        <v>82</v>
      </c>
      <c r="D3" s="5" t="s">
        <v>83</v>
      </c>
      <c r="E3" s="5" t="s">
        <v>83</v>
      </c>
      <c r="F3" s="5" t="s">
        <v>83</v>
      </c>
      <c r="G3" s="6" t="s">
        <v>84</v>
      </c>
    </row>
    <row r="4" spans="1:7" ht="43.5" customHeight="1" x14ac:dyDescent="0.45">
      <c r="A4" s="2" t="s">
        <v>85</v>
      </c>
      <c r="B4" s="3" t="s">
        <v>86</v>
      </c>
      <c r="C4" s="4" t="s">
        <v>82</v>
      </c>
      <c r="D4" s="5" t="s">
        <v>83</v>
      </c>
      <c r="E4" s="5" t="s">
        <v>83</v>
      </c>
      <c r="F4" s="5" t="s">
        <v>83</v>
      </c>
      <c r="G4" s="6" t="s">
        <v>87</v>
      </c>
    </row>
    <row r="5" spans="1:7" ht="43.5" customHeight="1" x14ac:dyDescent="0.45">
      <c r="A5" s="2" t="s">
        <v>88</v>
      </c>
      <c r="B5" s="3" t="s">
        <v>89</v>
      </c>
      <c r="C5" s="4" t="s">
        <v>82</v>
      </c>
      <c r="D5" s="5" t="s">
        <v>83</v>
      </c>
      <c r="E5" s="5" t="s">
        <v>83</v>
      </c>
      <c r="F5" s="5" t="s">
        <v>83</v>
      </c>
      <c r="G5" s="6" t="s">
        <v>90</v>
      </c>
    </row>
    <row r="6" spans="1:7" ht="43.5" customHeight="1" x14ac:dyDescent="0.45">
      <c r="A6" s="2" t="s">
        <v>91</v>
      </c>
      <c r="B6" s="3" t="s">
        <v>92</v>
      </c>
      <c r="C6" s="4" t="s">
        <v>82</v>
      </c>
      <c r="D6" s="5" t="s">
        <v>83</v>
      </c>
      <c r="E6" s="7" t="s">
        <v>93</v>
      </c>
      <c r="F6" s="7" t="s">
        <v>93</v>
      </c>
      <c r="G6" s="6" t="s">
        <v>94</v>
      </c>
    </row>
    <row r="7" spans="1:7" ht="43.5" customHeight="1" x14ac:dyDescent="0.45">
      <c r="A7" s="2" t="s">
        <v>95</v>
      </c>
      <c r="B7" s="3" t="s">
        <v>96</v>
      </c>
      <c r="C7" s="4" t="s">
        <v>82</v>
      </c>
      <c r="D7" s="5" t="s">
        <v>83</v>
      </c>
      <c r="E7" s="7" t="s">
        <v>93</v>
      </c>
      <c r="F7" s="7" t="s">
        <v>93</v>
      </c>
      <c r="G7" s="6" t="s">
        <v>97</v>
      </c>
    </row>
    <row r="8" spans="1:7" ht="43.5" customHeight="1" x14ac:dyDescent="0.45">
      <c r="A8" s="2" t="s">
        <v>98</v>
      </c>
      <c r="B8" s="3" t="s">
        <v>99</v>
      </c>
      <c r="C8" s="4" t="s">
        <v>82</v>
      </c>
      <c r="D8" s="5" t="s">
        <v>83</v>
      </c>
      <c r="E8" s="7" t="s">
        <v>93</v>
      </c>
      <c r="F8" s="7" t="s">
        <v>93</v>
      </c>
      <c r="G8" s="6" t="s">
        <v>100</v>
      </c>
    </row>
    <row r="9" spans="1:7" ht="43.5" customHeight="1" x14ac:dyDescent="0.45">
      <c r="A9" s="2" t="s">
        <v>101</v>
      </c>
      <c r="B9" s="3" t="s">
        <v>102</v>
      </c>
      <c r="C9" s="4" t="s">
        <v>82</v>
      </c>
      <c r="D9" s="5" t="s">
        <v>83</v>
      </c>
      <c r="E9" s="7" t="s">
        <v>93</v>
      </c>
      <c r="F9" s="7" t="s">
        <v>93</v>
      </c>
      <c r="G9" s="6" t="s">
        <v>103</v>
      </c>
    </row>
    <row r="10" spans="1:7" ht="43.5" customHeight="1" x14ac:dyDescent="0.45">
      <c r="A10" s="2" t="s">
        <v>104</v>
      </c>
      <c r="B10" s="3" t="s">
        <v>105</v>
      </c>
      <c r="C10" s="4" t="s">
        <v>82</v>
      </c>
      <c r="D10" s="8" t="s">
        <v>106</v>
      </c>
      <c r="E10" s="7" t="s">
        <v>93</v>
      </c>
      <c r="F10" s="7" t="s">
        <v>93</v>
      </c>
      <c r="G10" s="6" t="s">
        <v>107</v>
      </c>
    </row>
    <row r="11" spans="1:7" ht="43.5" customHeight="1" x14ac:dyDescent="0.45">
      <c r="A11" s="2" t="s">
        <v>108</v>
      </c>
      <c r="B11" s="3" t="s">
        <v>109</v>
      </c>
      <c r="C11" s="4" t="s">
        <v>82</v>
      </c>
      <c r="D11" s="5" t="s">
        <v>83</v>
      </c>
      <c r="E11" s="5" t="s">
        <v>83</v>
      </c>
      <c r="F11" s="5" t="s">
        <v>83</v>
      </c>
      <c r="G11" s="6" t="s">
        <v>110</v>
      </c>
    </row>
    <row r="12" spans="1:7" ht="43.5" customHeight="1" x14ac:dyDescent="0.45">
      <c r="A12" s="2" t="s">
        <v>111</v>
      </c>
      <c r="B12" s="3" t="s">
        <v>112</v>
      </c>
      <c r="C12" s="4" t="s">
        <v>82</v>
      </c>
      <c r="D12" s="5" t="s">
        <v>83</v>
      </c>
      <c r="E12" s="5" t="s">
        <v>83</v>
      </c>
      <c r="F12" s="5" t="s">
        <v>83</v>
      </c>
      <c r="G12" s="6" t="s">
        <v>113</v>
      </c>
    </row>
    <row r="13" spans="1:7" ht="43.5" customHeight="1" x14ac:dyDescent="0.45">
      <c r="A13" s="9" t="s">
        <v>114</v>
      </c>
      <c r="B13" s="10" t="s">
        <v>115</v>
      </c>
      <c r="C13" s="4" t="s">
        <v>116</v>
      </c>
      <c r="D13" s="5" t="s">
        <v>83</v>
      </c>
      <c r="E13" s="5" t="s">
        <v>83</v>
      </c>
      <c r="F13" s="11" t="s">
        <v>106</v>
      </c>
      <c r="G13" s="12" t="s">
        <v>117</v>
      </c>
    </row>
    <row r="14" spans="1:7" ht="43.5" customHeight="1" x14ac:dyDescent="0.45">
      <c r="A14" s="9" t="s">
        <v>118</v>
      </c>
      <c r="B14" s="10" t="s">
        <v>119</v>
      </c>
      <c r="C14" s="4" t="s">
        <v>116</v>
      </c>
      <c r="D14" s="5" t="s">
        <v>83</v>
      </c>
      <c r="E14" s="5" t="s">
        <v>83</v>
      </c>
      <c r="F14" s="5" t="s">
        <v>83</v>
      </c>
      <c r="G14" s="12" t="s">
        <v>120</v>
      </c>
    </row>
    <row r="15" spans="1:7" ht="43.5" customHeight="1" x14ac:dyDescent="0.45">
      <c r="A15" s="9" t="s">
        <v>121</v>
      </c>
      <c r="B15" s="10" t="s">
        <v>122</v>
      </c>
      <c r="C15" s="4" t="s">
        <v>116</v>
      </c>
      <c r="D15" s="5" t="s">
        <v>83</v>
      </c>
      <c r="E15" s="5" t="s">
        <v>83</v>
      </c>
      <c r="F15" s="5" t="s">
        <v>83</v>
      </c>
      <c r="G15" s="12" t="s">
        <v>123</v>
      </c>
    </row>
    <row r="16" spans="1:7" ht="43.5" customHeight="1" x14ac:dyDescent="0.45">
      <c r="A16" s="9" t="s">
        <v>124</v>
      </c>
      <c r="B16" s="10" t="s">
        <v>125</v>
      </c>
      <c r="C16" s="4" t="s">
        <v>116</v>
      </c>
      <c r="D16" s="5" t="s">
        <v>83</v>
      </c>
      <c r="E16" s="5" t="s">
        <v>83</v>
      </c>
      <c r="F16" s="5" t="s">
        <v>83</v>
      </c>
      <c r="G16" s="12" t="s">
        <v>126</v>
      </c>
    </row>
    <row r="17" spans="1:7" ht="43.5" customHeight="1" x14ac:dyDescent="0.45">
      <c r="A17" s="9" t="s">
        <v>127</v>
      </c>
      <c r="B17" s="10" t="s">
        <v>128</v>
      </c>
      <c r="C17" s="4" t="s">
        <v>116</v>
      </c>
      <c r="D17" s="5" t="s">
        <v>83</v>
      </c>
      <c r="E17" s="5" t="s">
        <v>83</v>
      </c>
      <c r="F17" s="5" t="s">
        <v>83</v>
      </c>
      <c r="G17" s="12" t="s">
        <v>129</v>
      </c>
    </row>
    <row r="18" spans="1:7" ht="43.5" customHeight="1" x14ac:dyDescent="0.45">
      <c r="A18" s="9" t="s">
        <v>130</v>
      </c>
      <c r="B18" s="10" t="s">
        <v>131</v>
      </c>
      <c r="C18" s="4" t="s">
        <v>116</v>
      </c>
      <c r="D18" s="5" t="s">
        <v>83</v>
      </c>
      <c r="E18" s="5" t="s">
        <v>83</v>
      </c>
      <c r="F18" s="5" t="s">
        <v>83</v>
      </c>
      <c r="G18" s="12" t="s">
        <v>132</v>
      </c>
    </row>
    <row r="19" spans="1:7" ht="43.5" customHeight="1" x14ac:dyDescent="0.45">
      <c r="A19" s="9" t="s">
        <v>133</v>
      </c>
      <c r="B19" s="10" t="s">
        <v>134</v>
      </c>
      <c r="C19" s="4" t="s">
        <v>116</v>
      </c>
      <c r="D19" s="5" t="s">
        <v>83</v>
      </c>
      <c r="E19" s="5" t="s">
        <v>83</v>
      </c>
      <c r="F19" s="5" t="s">
        <v>83</v>
      </c>
      <c r="G19" s="12" t="s">
        <v>135</v>
      </c>
    </row>
    <row r="20" spans="1:7" ht="43.5" customHeight="1" x14ac:dyDescent="0.45">
      <c r="A20" s="9" t="s">
        <v>136</v>
      </c>
      <c r="B20" s="10" t="s">
        <v>137</v>
      </c>
      <c r="C20" s="4" t="s">
        <v>116</v>
      </c>
      <c r="D20" s="5" t="s">
        <v>83</v>
      </c>
      <c r="E20" s="5" t="s">
        <v>83</v>
      </c>
      <c r="F20" s="5" t="s">
        <v>83</v>
      </c>
      <c r="G20" s="12" t="s">
        <v>138</v>
      </c>
    </row>
    <row r="21" spans="1:7" ht="43.5" customHeight="1" x14ac:dyDescent="0.45">
      <c r="A21" s="9" t="s">
        <v>139</v>
      </c>
      <c r="B21" s="10" t="s">
        <v>140</v>
      </c>
      <c r="C21" s="4" t="s">
        <v>116</v>
      </c>
      <c r="D21" s="5" t="s">
        <v>83</v>
      </c>
      <c r="E21" s="7" t="s">
        <v>93</v>
      </c>
      <c r="F21" s="7" t="s">
        <v>93</v>
      </c>
      <c r="G21" s="12" t="s">
        <v>141</v>
      </c>
    </row>
    <row r="22" spans="1:7" ht="43.5" customHeight="1" x14ac:dyDescent="0.45">
      <c r="A22" s="9" t="s">
        <v>142</v>
      </c>
      <c r="B22" s="10" t="s">
        <v>143</v>
      </c>
      <c r="C22" s="4" t="s">
        <v>116</v>
      </c>
      <c r="D22" s="5" t="s">
        <v>83</v>
      </c>
      <c r="E22" s="5" t="s">
        <v>83</v>
      </c>
      <c r="F22" s="5" t="s">
        <v>83</v>
      </c>
      <c r="G22" s="12" t="s">
        <v>144</v>
      </c>
    </row>
    <row r="23" spans="1:7" ht="43.5" customHeight="1" x14ac:dyDescent="0.45">
      <c r="A23" s="13" t="s">
        <v>145</v>
      </c>
      <c r="B23" s="14" t="s">
        <v>146</v>
      </c>
      <c r="C23" s="4" t="s">
        <v>147</v>
      </c>
      <c r="D23" s="5" t="s">
        <v>83</v>
      </c>
      <c r="E23" s="5" t="s">
        <v>83</v>
      </c>
      <c r="F23" s="5" t="s">
        <v>83</v>
      </c>
      <c r="G23" s="15" t="s">
        <v>148</v>
      </c>
    </row>
    <row r="24" spans="1:7" ht="43.5" customHeight="1" x14ac:dyDescent="0.45">
      <c r="A24" s="13" t="s">
        <v>149</v>
      </c>
      <c r="B24" s="14" t="s">
        <v>150</v>
      </c>
      <c r="C24" s="4" t="s">
        <v>147</v>
      </c>
      <c r="D24" s="5" t="s">
        <v>83</v>
      </c>
      <c r="E24" s="5" t="s">
        <v>83</v>
      </c>
      <c r="F24" s="5" t="s">
        <v>83</v>
      </c>
      <c r="G24" s="15" t="s">
        <v>151</v>
      </c>
    </row>
    <row r="25" spans="1:7" ht="43.5" customHeight="1" x14ac:dyDescent="0.45">
      <c r="A25" s="13" t="s">
        <v>152</v>
      </c>
      <c r="B25" s="14" t="s">
        <v>153</v>
      </c>
      <c r="C25" s="4" t="s">
        <v>147</v>
      </c>
      <c r="D25" s="5" t="s">
        <v>83</v>
      </c>
      <c r="E25" s="5" t="s">
        <v>83</v>
      </c>
      <c r="F25" s="5" t="s">
        <v>83</v>
      </c>
      <c r="G25" s="15" t="s">
        <v>154</v>
      </c>
    </row>
    <row r="26" spans="1:7" ht="43.5" customHeight="1" x14ac:dyDescent="0.45">
      <c r="A26" s="13" t="s">
        <v>155</v>
      </c>
      <c r="B26" s="14" t="s">
        <v>156</v>
      </c>
      <c r="C26" s="4" t="s">
        <v>147</v>
      </c>
      <c r="D26" s="5" t="s">
        <v>83</v>
      </c>
      <c r="E26" s="5" t="s">
        <v>83</v>
      </c>
      <c r="F26" s="5" t="s">
        <v>83</v>
      </c>
      <c r="G26" s="15" t="s">
        <v>157</v>
      </c>
    </row>
    <row r="27" spans="1:7" ht="43.5" customHeight="1" x14ac:dyDescent="0.45">
      <c r="A27" s="13" t="s">
        <v>158</v>
      </c>
      <c r="B27" s="14" t="s">
        <v>159</v>
      </c>
      <c r="C27" s="4" t="s">
        <v>147</v>
      </c>
      <c r="D27" s="5" t="s">
        <v>83</v>
      </c>
      <c r="E27" s="5" t="s">
        <v>83</v>
      </c>
      <c r="F27" s="5" t="s">
        <v>83</v>
      </c>
      <c r="G27" s="15" t="s">
        <v>160</v>
      </c>
    </row>
    <row r="28" spans="1:7" ht="43.5" customHeight="1" x14ac:dyDescent="0.45">
      <c r="A28" s="13" t="s">
        <v>161</v>
      </c>
      <c r="B28" s="14" t="s">
        <v>162</v>
      </c>
      <c r="C28" s="4" t="s">
        <v>147</v>
      </c>
      <c r="D28" s="5" t="s">
        <v>83</v>
      </c>
      <c r="E28" s="5" t="s">
        <v>83</v>
      </c>
      <c r="F28" s="5" t="s">
        <v>83</v>
      </c>
      <c r="G28" s="15" t="s">
        <v>163</v>
      </c>
    </row>
    <row r="29" spans="1:7" ht="43.5" customHeight="1" x14ac:dyDescent="0.45">
      <c r="A29" s="13" t="s">
        <v>164</v>
      </c>
      <c r="B29" s="14" t="s">
        <v>165</v>
      </c>
      <c r="C29" s="4" t="s">
        <v>147</v>
      </c>
      <c r="D29" s="5" t="s">
        <v>83</v>
      </c>
      <c r="E29" s="5" t="s">
        <v>83</v>
      </c>
      <c r="F29" s="11" t="s">
        <v>106</v>
      </c>
      <c r="G29" s="15" t="s">
        <v>166</v>
      </c>
    </row>
    <row r="30" spans="1:7" ht="43.5" customHeight="1" x14ac:dyDescent="0.45">
      <c r="A30" s="16" t="s">
        <v>167</v>
      </c>
      <c r="B30" s="17" t="s">
        <v>168</v>
      </c>
      <c r="C30" s="4" t="s">
        <v>169</v>
      </c>
      <c r="D30" s="7" t="s">
        <v>93</v>
      </c>
      <c r="E30" s="5" t="s">
        <v>170</v>
      </c>
      <c r="F30" s="5" t="s">
        <v>106</v>
      </c>
      <c r="G30" s="18" t="s">
        <v>171</v>
      </c>
    </row>
    <row r="31" spans="1:7" ht="43.5" customHeight="1" x14ac:dyDescent="0.45">
      <c r="A31" s="16" t="s">
        <v>172</v>
      </c>
      <c r="B31" s="17" t="s">
        <v>173</v>
      </c>
      <c r="C31" s="4" t="s">
        <v>169</v>
      </c>
      <c r="D31" s="7" t="s">
        <v>93</v>
      </c>
      <c r="E31" s="5" t="s">
        <v>83</v>
      </c>
      <c r="F31" s="19" t="s">
        <v>174</v>
      </c>
      <c r="G31" s="18" t="s">
        <v>175</v>
      </c>
    </row>
    <row r="32" spans="1:7" ht="43.5" customHeight="1" x14ac:dyDescent="0.45">
      <c r="A32" s="20" t="s">
        <v>176</v>
      </c>
      <c r="B32" s="21" t="s">
        <v>177</v>
      </c>
      <c r="C32" s="4" t="s">
        <v>178</v>
      </c>
      <c r="D32" s="5" t="s">
        <v>83</v>
      </c>
      <c r="E32" s="5" t="s">
        <v>83</v>
      </c>
      <c r="F32" s="11" t="s">
        <v>106</v>
      </c>
      <c r="G32" s="22" t="s">
        <v>179</v>
      </c>
    </row>
    <row r="33" spans="1:7" ht="43.5" customHeight="1" x14ac:dyDescent="0.45">
      <c r="A33" s="20" t="s">
        <v>180</v>
      </c>
      <c r="B33" s="21" t="s">
        <v>181</v>
      </c>
      <c r="C33" s="4" t="s">
        <v>178</v>
      </c>
      <c r="D33" s="5" t="s">
        <v>83</v>
      </c>
      <c r="E33" s="5" t="s">
        <v>83</v>
      </c>
      <c r="F33" s="11" t="s">
        <v>106</v>
      </c>
      <c r="G33" s="22" t="s">
        <v>182</v>
      </c>
    </row>
    <row r="34" spans="1:7" ht="43.5" customHeight="1" x14ac:dyDescent="0.45">
      <c r="A34" s="20" t="s">
        <v>183</v>
      </c>
      <c r="B34" s="21" t="s">
        <v>184</v>
      </c>
      <c r="C34" s="4" t="s">
        <v>178</v>
      </c>
      <c r="D34" s="5" t="s">
        <v>83</v>
      </c>
      <c r="E34" s="5" t="s">
        <v>83</v>
      </c>
      <c r="F34" s="11" t="s">
        <v>106</v>
      </c>
      <c r="G34" s="22" t="s">
        <v>185</v>
      </c>
    </row>
    <row r="35" spans="1:7" ht="43.5" customHeight="1" x14ac:dyDescent="0.45">
      <c r="A35" s="20" t="s">
        <v>186</v>
      </c>
      <c r="B35" s="21" t="s">
        <v>187</v>
      </c>
      <c r="C35" s="4" t="s">
        <v>178</v>
      </c>
      <c r="D35" s="5" t="s">
        <v>83</v>
      </c>
      <c r="E35" s="5" t="s">
        <v>83</v>
      </c>
      <c r="F35" s="11" t="s">
        <v>106</v>
      </c>
      <c r="G35" s="22" t="s">
        <v>188</v>
      </c>
    </row>
    <row r="36" spans="1:7" ht="43.5" customHeight="1" x14ac:dyDescent="0.45">
      <c r="A36" s="20" t="s">
        <v>189</v>
      </c>
      <c r="B36" s="21" t="s">
        <v>190</v>
      </c>
      <c r="C36" s="4" t="s">
        <v>178</v>
      </c>
      <c r="D36" s="5" t="s">
        <v>83</v>
      </c>
      <c r="E36" s="5" t="s">
        <v>83</v>
      </c>
      <c r="F36" s="11" t="s">
        <v>106</v>
      </c>
      <c r="G36" s="22" t="s">
        <v>191</v>
      </c>
    </row>
    <row r="37" spans="1:7" ht="43.5" customHeight="1" x14ac:dyDescent="0.45">
      <c r="A37" s="20" t="s">
        <v>192</v>
      </c>
      <c r="B37" s="21" t="s">
        <v>193</v>
      </c>
      <c r="C37" s="4" t="s">
        <v>178</v>
      </c>
      <c r="D37" s="5" t="s">
        <v>83</v>
      </c>
      <c r="E37" s="5" t="s">
        <v>83</v>
      </c>
      <c r="F37" s="11" t="s">
        <v>106</v>
      </c>
      <c r="G37" s="22" t="s">
        <v>194</v>
      </c>
    </row>
    <row r="38" spans="1:7" ht="43.5" customHeight="1" x14ac:dyDescent="0.45">
      <c r="A38" s="20" t="s">
        <v>195</v>
      </c>
      <c r="B38" s="21" t="s">
        <v>196</v>
      </c>
      <c r="C38" s="4" t="s">
        <v>178</v>
      </c>
      <c r="D38" s="5" t="s">
        <v>83</v>
      </c>
      <c r="E38" s="5" t="s">
        <v>83</v>
      </c>
      <c r="F38" s="11" t="s">
        <v>106</v>
      </c>
      <c r="G38" s="22" t="s">
        <v>197</v>
      </c>
    </row>
    <row r="39" spans="1:7" ht="43.5" customHeight="1" x14ac:dyDescent="0.45">
      <c r="A39" s="20" t="s">
        <v>198</v>
      </c>
      <c r="B39" s="21" t="s">
        <v>199</v>
      </c>
      <c r="C39" s="4" t="s">
        <v>178</v>
      </c>
      <c r="D39" s="5" t="s">
        <v>83</v>
      </c>
      <c r="E39" s="5" t="s">
        <v>83</v>
      </c>
      <c r="F39" s="5" t="s">
        <v>83</v>
      </c>
      <c r="G39" s="22" t="s">
        <v>200</v>
      </c>
    </row>
    <row r="40" spans="1:7" ht="7.5" customHeight="1" x14ac:dyDescent="0.45"/>
    <row r="41" spans="1:7" ht="30" customHeight="1" x14ac:dyDescent="0.45">
      <c r="A41" s="58" t="s">
        <v>201</v>
      </c>
      <c r="B41" s="56"/>
      <c r="C41" s="57"/>
      <c r="D41" s="23" t="s">
        <v>6</v>
      </c>
      <c r="E41" s="23" t="s">
        <v>7</v>
      </c>
      <c r="F41" s="23" t="s">
        <v>8</v>
      </c>
      <c r="G41" s="24"/>
    </row>
    <row r="42" spans="1:7" ht="21.75" customHeight="1" x14ac:dyDescent="0.45">
      <c r="A42" s="55" t="s">
        <v>83</v>
      </c>
      <c r="B42" s="56"/>
      <c r="C42" s="57"/>
      <c r="D42" s="5">
        <f>COUNTIF(D3:D39,"PASS")</f>
        <v>34</v>
      </c>
      <c r="E42" s="5">
        <f>COUNTIF(E3:E39,"PASS")</f>
        <v>30</v>
      </c>
      <c r="F42" s="5">
        <f>COUNTIF(F3:F39,"PASS")</f>
        <v>20</v>
      </c>
      <c r="G42" s="24"/>
    </row>
    <row r="43" spans="1:7" ht="21.75" customHeight="1" x14ac:dyDescent="0.45">
      <c r="A43" s="61" t="s">
        <v>106</v>
      </c>
      <c r="B43" s="56"/>
      <c r="C43" s="57"/>
      <c r="D43" s="11">
        <f>COUNTIF(D3:D39,"FAIL")</f>
        <v>1</v>
      </c>
      <c r="E43" s="11">
        <f>COUNTIF(E3:E39,"FAIL")</f>
        <v>0</v>
      </c>
      <c r="F43" s="11">
        <f>COUNTIF(F3:F39,"FAIL")</f>
        <v>10</v>
      </c>
      <c r="G43" s="24" t="s">
        <v>202</v>
      </c>
    </row>
    <row r="44" spans="1:7" ht="21.75" customHeight="1" x14ac:dyDescent="0.45">
      <c r="A44" s="59" t="s">
        <v>174</v>
      </c>
      <c r="B44" s="56"/>
      <c r="C44" s="57"/>
      <c r="D44" s="19">
        <f>COUNTIF(D3:D39,"PARTIAL")</f>
        <v>0</v>
      </c>
      <c r="E44" s="19">
        <f>COUNTIF(E3:E39,"PARTIAL")</f>
        <v>0</v>
      </c>
      <c r="F44" s="19">
        <f>COUNTIF(F3:F39,"PARTIAL")</f>
        <v>1</v>
      </c>
      <c r="G44" s="24" t="s">
        <v>203</v>
      </c>
    </row>
    <row r="45" spans="1:7" ht="21.75" customHeight="1" x14ac:dyDescent="0.45">
      <c r="A45" s="60" t="s">
        <v>93</v>
      </c>
      <c r="B45" s="56"/>
      <c r="C45" s="57"/>
      <c r="D45" s="7">
        <f>COUNTIF(D3:D39,"NOT APPLIED")</f>
        <v>2</v>
      </c>
      <c r="E45" s="7">
        <f>COUNTIF(E3:E39,"NOT APPLIED")</f>
        <v>6</v>
      </c>
      <c r="F45" s="7">
        <f>COUNTIF(F3:F39,"NOT APPLIED")</f>
        <v>6</v>
      </c>
      <c r="G45" s="24" t="s">
        <v>204</v>
      </c>
    </row>
  </sheetData>
  <mergeCells count="6">
    <mergeCell ref="A42:C42"/>
    <mergeCell ref="A41:C41"/>
    <mergeCell ref="A1:G1"/>
    <mergeCell ref="A44:C44"/>
    <mergeCell ref="A45:C45"/>
    <mergeCell ref="A43:C4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zoomScaleNormal="100" workbookViewId="0">
      <pane ySplit="2" topLeftCell="A7" activePane="bottomLeft" state="frozen"/>
      <selection pane="bottomLeft"/>
    </sheetView>
  </sheetViews>
  <sheetFormatPr defaultColWidth="8.6640625" defaultRowHeight="14.25" x14ac:dyDescent="0.45"/>
  <cols>
    <col min="1" max="1" width="12" customWidth="1"/>
    <col min="2" max="2" width="20" customWidth="1"/>
    <col min="3" max="3" width="28" customWidth="1"/>
    <col min="4" max="4" width="30" customWidth="1"/>
    <col min="5" max="5" width="32" customWidth="1"/>
    <col min="6" max="8" width="28" customWidth="1"/>
  </cols>
  <sheetData>
    <row r="1" spans="1:8" ht="43.5" customHeight="1" x14ac:dyDescent="0.45">
      <c r="A1" s="53" t="s">
        <v>0</v>
      </c>
      <c r="B1" s="54"/>
      <c r="C1" s="54"/>
      <c r="D1" s="54"/>
      <c r="E1" s="54"/>
      <c r="F1" s="54"/>
      <c r="G1" s="54"/>
      <c r="H1" s="54"/>
    </row>
    <row r="2" spans="1:8" ht="36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54" customHeight="1" x14ac:dyDescent="0.45">
      <c r="A3" s="25" t="s">
        <v>9</v>
      </c>
      <c r="B3" s="26" t="s">
        <v>10</v>
      </c>
      <c r="C3" s="27" t="s">
        <v>11</v>
      </c>
      <c r="D3" s="27" t="s">
        <v>12</v>
      </c>
      <c r="E3" s="27" t="s">
        <v>13</v>
      </c>
      <c r="F3" s="28" t="s">
        <v>14</v>
      </c>
      <c r="G3" s="28" t="s">
        <v>15</v>
      </c>
      <c r="H3" s="29" t="s">
        <v>16</v>
      </c>
    </row>
    <row r="4" spans="1:8" ht="54" customHeight="1" x14ac:dyDescent="0.45">
      <c r="A4" s="30" t="s">
        <v>17</v>
      </c>
      <c r="B4" s="31" t="s">
        <v>18</v>
      </c>
      <c r="C4" s="32" t="s">
        <v>19</v>
      </c>
      <c r="D4" s="32" t="s">
        <v>20</v>
      </c>
      <c r="E4" s="32" t="s">
        <v>21</v>
      </c>
      <c r="F4" s="28" t="s">
        <v>22</v>
      </c>
      <c r="G4" s="28" t="s">
        <v>23</v>
      </c>
      <c r="H4" s="28" t="s">
        <v>24</v>
      </c>
    </row>
    <row r="5" spans="1:8" ht="54" customHeight="1" x14ac:dyDescent="0.45">
      <c r="A5" s="13" t="s">
        <v>25</v>
      </c>
      <c r="B5" s="14" t="s">
        <v>10</v>
      </c>
      <c r="C5" s="15" t="s">
        <v>26</v>
      </c>
      <c r="D5" s="15" t="s">
        <v>27</v>
      </c>
      <c r="E5" s="15" t="s">
        <v>28</v>
      </c>
      <c r="F5" s="28" t="s">
        <v>29</v>
      </c>
      <c r="G5" s="28" t="s">
        <v>30</v>
      </c>
      <c r="H5" s="28" t="s">
        <v>31</v>
      </c>
    </row>
    <row r="6" spans="1:8" ht="54" customHeight="1" x14ac:dyDescent="0.45">
      <c r="A6" s="16" t="s">
        <v>32</v>
      </c>
      <c r="B6" s="17" t="s">
        <v>33</v>
      </c>
      <c r="C6" s="18" t="s">
        <v>34</v>
      </c>
      <c r="D6" s="18" t="s">
        <v>35</v>
      </c>
      <c r="E6" s="18" t="s">
        <v>36</v>
      </c>
      <c r="F6" s="28" t="s">
        <v>37</v>
      </c>
      <c r="G6" s="28" t="s">
        <v>38</v>
      </c>
      <c r="H6" s="29" t="s">
        <v>39</v>
      </c>
    </row>
    <row r="7" spans="1:8" ht="54" customHeight="1" x14ac:dyDescent="0.45">
      <c r="A7" s="25" t="s">
        <v>40</v>
      </c>
      <c r="B7" s="26" t="s">
        <v>18</v>
      </c>
      <c r="C7" s="27" t="s">
        <v>41</v>
      </c>
      <c r="D7" s="27" t="s">
        <v>42</v>
      </c>
      <c r="E7" s="27" t="s">
        <v>43</v>
      </c>
      <c r="F7" s="28" t="s">
        <v>44</v>
      </c>
      <c r="G7" s="28" t="s">
        <v>45</v>
      </c>
      <c r="H7" s="28" t="s">
        <v>46</v>
      </c>
    </row>
    <row r="8" spans="1:8" ht="54" customHeight="1" x14ac:dyDescent="0.45">
      <c r="A8" s="30" t="s">
        <v>47</v>
      </c>
      <c r="B8" s="31" t="s">
        <v>10</v>
      </c>
      <c r="C8" s="32" t="s">
        <v>48</v>
      </c>
      <c r="D8" s="32" t="s">
        <v>49</v>
      </c>
      <c r="E8" s="32" t="s">
        <v>50</v>
      </c>
      <c r="F8" s="28" t="s">
        <v>51</v>
      </c>
      <c r="G8" s="28" t="s">
        <v>52</v>
      </c>
      <c r="H8" s="33" t="s">
        <v>53</v>
      </c>
    </row>
    <row r="9" spans="1:8" ht="54" customHeight="1" x14ac:dyDescent="0.45">
      <c r="A9" s="13" t="s">
        <v>54</v>
      </c>
      <c r="B9" s="14" t="s">
        <v>18</v>
      </c>
      <c r="C9" s="15" t="s">
        <v>55</v>
      </c>
      <c r="D9" s="15" t="s">
        <v>56</v>
      </c>
      <c r="E9" s="15" t="s">
        <v>57</v>
      </c>
      <c r="F9" s="28" t="s">
        <v>58</v>
      </c>
      <c r="G9" s="28" t="s">
        <v>59</v>
      </c>
      <c r="H9" s="29" t="s">
        <v>60</v>
      </c>
    </row>
    <row r="10" spans="1:8" ht="54" customHeight="1" x14ac:dyDescent="0.45">
      <c r="A10" s="16" t="s">
        <v>61</v>
      </c>
      <c r="B10" s="17" t="s">
        <v>62</v>
      </c>
      <c r="C10" s="18" t="s">
        <v>63</v>
      </c>
      <c r="D10" s="18" t="s">
        <v>64</v>
      </c>
      <c r="E10" s="18" t="s">
        <v>65</v>
      </c>
      <c r="F10" s="28" t="s">
        <v>66</v>
      </c>
      <c r="G10" s="28" t="s">
        <v>66</v>
      </c>
      <c r="H10" s="29" t="s">
        <v>67</v>
      </c>
    </row>
    <row r="11" spans="1:8" ht="108.75" customHeight="1" x14ac:dyDescent="0.45">
      <c r="A11" s="34" t="s">
        <v>68</v>
      </c>
      <c r="B11" s="35" t="s">
        <v>33</v>
      </c>
      <c r="C11" s="35" t="s">
        <v>69</v>
      </c>
      <c r="D11" s="35" t="s">
        <v>70</v>
      </c>
      <c r="E11" s="35" t="s">
        <v>71</v>
      </c>
      <c r="F11" s="36" t="s">
        <v>72</v>
      </c>
      <c r="G11" s="37" t="s">
        <v>73</v>
      </c>
      <c r="H11" s="37" t="s">
        <v>74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tabSelected="1" zoomScaleNormal="100" workbookViewId="0">
      <selection sqref="A1:H1"/>
    </sheetView>
  </sheetViews>
  <sheetFormatPr defaultColWidth="8.6640625" defaultRowHeight="14.25" x14ac:dyDescent="0.45"/>
  <cols>
    <col min="1" max="1" width="8" customWidth="1"/>
    <col min="2" max="2" width="18" customWidth="1"/>
    <col min="3" max="5" width="13" customWidth="1"/>
    <col min="6" max="6" width="14" customWidth="1"/>
    <col min="7" max="7" width="13" customWidth="1"/>
    <col min="8" max="8" width="14" customWidth="1"/>
  </cols>
  <sheetData>
    <row r="1" spans="1:8" ht="30" customHeight="1" x14ac:dyDescent="0.45">
      <c r="A1" s="65" t="s">
        <v>205</v>
      </c>
      <c r="B1" s="54"/>
      <c r="C1" s="54"/>
      <c r="D1" s="54"/>
      <c r="E1" s="54"/>
      <c r="F1" s="54"/>
      <c r="G1" s="54"/>
      <c r="H1" s="54"/>
    </row>
    <row r="3" spans="1:8" ht="36" customHeight="1" x14ac:dyDescent="0.45">
      <c r="A3" s="38" t="s">
        <v>206</v>
      </c>
      <c r="B3" s="38" t="s">
        <v>207</v>
      </c>
      <c r="C3" s="38" t="s">
        <v>208</v>
      </c>
      <c r="D3" s="38" t="s">
        <v>209</v>
      </c>
      <c r="E3" s="38" t="s">
        <v>210</v>
      </c>
      <c r="F3" s="38" t="s">
        <v>211</v>
      </c>
      <c r="G3" s="38" t="s">
        <v>212</v>
      </c>
      <c r="H3" s="38" t="s">
        <v>213</v>
      </c>
    </row>
    <row r="4" spans="1:8" ht="21.75" customHeight="1" x14ac:dyDescent="0.45">
      <c r="A4" s="39">
        <v>1</v>
      </c>
      <c r="B4" s="40" t="s">
        <v>6</v>
      </c>
      <c r="C4" s="41">
        <v>4.3499999999999996</v>
      </c>
      <c r="D4" s="42">
        <v>4.5</v>
      </c>
      <c r="E4" s="42">
        <v>5</v>
      </c>
      <c r="F4" s="43" t="s">
        <v>214</v>
      </c>
      <c r="G4" s="42">
        <v>5</v>
      </c>
      <c r="H4" s="42">
        <v>5</v>
      </c>
    </row>
    <row r="5" spans="1:8" ht="21.75" customHeight="1" x14ac:dyDescent="0.45">
      <c r="A5" s="44">
        <v>2</v>
      </c>
      <c r="B5" s="45" t="s">
        <v>7</v>
      </c>
      <c r="C5" s="46">
        <v>4.9400000000000004</v>
      </c>
      <c r="D5" s="47">
        <v>5</v>
      </c>
      <c r="E5" s="47">
        <v>5</v>
      </c>
      <c r="F5" s="47">
        <v>4.38</v>
      </c>
      <c r="G5" s="47">
        <v>5</v>
      </c>
      <c r="H5" s="47">
        <v>5</v>
      </c>
    </row>
    <row r="6" spans="1:8" ht="21.75" customHeight="1" x14ac:dyDescent="0.45">
      <c r="A6" s="48">
        <v>3</v>
      </c>
      <c r="B6" s="49" t="s">
        <v>8</v>
      </c>
      <c r="C6" s="50">
        <v>3.88</v>
      </c>
      <c r="D6" s="51">
        <v>5</v>
      </c>
      <c r="E6" s="51">
        <v>4.4400000000000004</v>
      </c>
      <c r="F6" s="51">
        <v>1.25</v>
      </c>
      <c r="G6" s="51">
        <v>4.29</v>
      </c>
      <c r="H6" s="51">
        <v>0.63</v>
      </c>
    </row>
    <row r="9" spans="1:8" ht="15" customHeight="1" x14ac:dyDescent="0.45">
      <c r="A9" s="62" t="s">
        <v>215</v>
      </c>
      <c r="B9" s="54"/>
      <c r="C9" s="54"/>
      <c r="D9" s="54"/>
      <c r="E9" s="54"/>
      <c r="F9" s="54"/>
      <c r="G9" s="54"/>
      <c r="H9" s="54"/>
    </row>
    <row r="10" spans="1:8" ht="30" customHeight="1" x14ac:dyDescent="0.45">
      <c r="A10" s="63" t="s">
        <v>216</v>
      </c>
      <c r="B10" s="54"/>
      <c r="C10" s="54"/>
      <c r="D10" s="54"/>
      <c r="E10" s="54"/>
      <c r="F10" s="54"/>
      <c r="G10" s="54"/>
      <c r="H10" s="54"/>
    </row>
    <row r="11" spans="1:8" ht="30" customHeight="1" x14ac:dyDescent="0.45">
      <c r="A11" s="63" t="s">
        <v>217</v>
      </c>
      <c r="B11" s="54"/>
      <c r="C11" s="54"/>
      <c r="D11" s="54"/>
      <c r="E11" s="54"/>
      <c r="F11" s="54"/>
      <c r="G11" s="54"/>
      <c r="H11" s="54"/>
    </row>
    <row r="12" spans="1:8" ht="30" customHeight="1" x14ac:dyDescent="0.45">
      <c r="A12" s="63" t="s">
        <v>218</v>
      </c>
      <c r="B12" s="54"/>
      <c r="C12" s="54"/>
      <c r="D12" s="54"/>
      <c r="E12" s="54"/>
      <c r="F12" s="54"/>
      <c r="G12" s="54"/>
      <c r="H12" s="54"/>
    </row>
    <row r="14" spans="1:8" ht="15" customHeight="1" x14ac:dyDescent="0.45">
      <c r="A14" s="64" t="s">
        <v>219</v>
      </c>
      <c r="B14" s="54"/>
      <c r="C14" s="54"/>
      <c r="D14" s="54"/>
      <c r="E14" s="54"/>
      <c r="F14" s="54"/>
      <c r="G14" s="54"/>
      <c r="H14" s="54"/>
    </row>
    <row r="15" spans="1:8" ht="31.5" customHeight="1" x14ac:dyDescent="0.45">
      <c r="A15" s="63" t="s">
        <v>220</v>
      </c>
      <c r="B15" s="54"/>
      <c r="C15" s="54"/>
      <c r="D15" s="54"/>
      <c r="E15" s="54"/>
      <c r="F15" s="54"/>
      <c r="G15" s="54"/>
      <c r="H15" s="54"/>
    </row>
    <row r="16" spans="1:8" ht="31.5" customHeight="1" x14ac:dyDescent="0.45">
      <c r="A16" s="63" t="s">
        <v>221</v>
      </c>
      <c r="B16" s="54"/>
      <c r="C16" s="54"/>
      <c r="D16" s="54"/>
      <c r="E16" s="54"/>
      <c r="F16" s="54"/>
      <c r="G16" s="54"/>
      <c r="H16" s="54"/>
    </row>
    <row r="17" spans="1:8" ht="31.5" customHeight="1" x14ac:dyDescent="0.45">
      <c r="A17" s="63" t="s">
        <v>222</v>
      </c>
      <c r="B17" s="54"/>
      <c r="C17" s="54"/>
      <c r="D17" s="54"/>
      <c r="E17" s="54"/>
      <c r="F17" s="54"/>
      <c r="G17" s="54"/>
      <c r="H17" s="54"/>
    </row>
    <row r="19" spans="1:8" ht="5" customHeight="1" x14ac:dyDescent="0.45">
      <c r="A19" s="52"/>
    </row>
  </sheetData>
  <mergeCells count="9">
    <mergeCell ref="A1:H1"/>
    <mergeCell ref="A17:H17"/>
    <mergeCell ref="A9:H9"/>
    <mergeCell ref="A12:H12"/>
    <mergeCell ref="A15:H15"/>
    <mergeCell ref="A16:H16"/>
    <mergeCell ref="A10:H10"/>
    <mergeCell ref="A11:H11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MIGRATION TOOL TEST REPORT</vt:lpstr>
      <vt:lpstr>EDGE CASE REPORT</vt:lpstr>
      <vt:lpstr>FINAL WEIGHTED 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Nathalie Sikihimba Kahambu</cp:lastModifiedBy>
  <cp:revision>0</cp:revision>
  <dcterms:created xsi:type="dcterms:W3CDTF">2026-04-22T20:37:11Z</dcterms:created>
  <dcterms:modified xsi:type="dcterms:W3CDTF">2026-05-16T18:22:42Z</dcterms:modified>
  <dc:language>en-US</dc:language>
</cp:coreProperties>
</file>